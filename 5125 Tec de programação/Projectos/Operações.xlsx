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OneDrive\Ambiente de Trabalho\"/>
    </mc:Choice>
  </mc:AlternateContent>
  <xr:revisionPtr revIDLastSave="0" documentId="13_ncr:1_{82123E85-8E11-4D88-820C-86987392D75D}" xr6:coauthVersionLast="47" xr6:coauthVersionMax="47" xr10:uidLastSave="{00000000-0000-0000-0000-000000000000}"/>
  <bookViews>
    <workbookView xWindow="-108" yWindow="-108" windowWidth="23256" windowHeight="12456" activeTab="1" xr2:uid="{E68B3765-161B-4B03-9D5C-E1CD39DF31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<sst xmlns="http://schemas.openxmlformats.org/spreadsheetml/2006/main" count="22" uniqueCount="22">
  <si>
    <t>Roda dos alimentos (Fonte:DGS)</t>
  </si>
  <si>
    <t>Percentagem %</t>
  </si>
  <si>
    <t>O que é uma porção</t>
  </si>
  <si>
    <t>Quantas porçoes são necessárias por dia</t>
  </si>
  <si>
    <t>Minimo</t>
  </si>
  <si>
    <t>Maximo</t>
  </si>
  <si>
    <t>Cereais e Derivados  tuberculos</t>
  </si>
  <si>
    <t>1  pão(50g)</t>
  </si>
  <si>
    <t>1 fatia de broa</t>
  </si>
  <si>
    <t>1 batata e meia, média (125g)</t>
  </si>
  <si>
    <t>5 colheres de sopa de cerais  de pequeno almoço(35g)</t>
  </si>
  <si>
    <t>6 bolachas tipo Maria ou água e sal (35gr)</t>
  </si>
  <si>
    <t>2 colheres de sopa de arroz ou massa crus(35 g)</t>
  </si>
  <si>
    <t>4 colheres de sopa de arroz ou massa cozinhados (110 g)</t>
  </si>
  <si>
    <t>Hortícolas</t>
  </si>
  <si>
    <t>2 chávenas almoçadeiras de legumes crus/180g)</t>
  </si>
  <si>
    <t>1 chávena almoçadeira de legumes cozidos(140g)</t>
  </si>
  <si>
    <t>Fruta</t>
  </si>
  <si>
    <t>1 peça de fruta tamanho médio (160g)</t>
  </si>
  <si>
    <t>Lacticíneos</t>
  </si>
  <si>
    <t>1 chavena almoçadeira de leite (250ml)</t>
  </si>
  <si>
    <t>1 iogurte líquido ou 1 e meio iogurte sólido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</si>
</sst>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 vertical="center" textRotation="90" wrapText="1"/>
    </xf>
    <xf numFmtId="0" fontId="0" fillId="0" borderId="4" xfId="0" applyFill="1" applyBorder="1" applyAlignment="1">
      <alignment vertical="center"/>
    </xf>
    <xf numFmtId="0" fontId="4" fillId="0" borderId="1" xfId="0" applyFont="1" applyBorder="1"/>
    <xf numFmtId="9" fontId="6" fillId="0" borderId="1" xfId="0" applyNumberFormat="1" applyFont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 textRotation="90"/>
    </xf>
    <xf numFmtId="9" fontId="3" fillId="0" borderId="5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9" fontId="6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C015-525D-478A-AAAB-E2553B9048FD}">
  <dimension ref="A1:E18"/>
  <sheetViews>
    <sheetView workbookViewId="0">
      <selection activeCell="E18" sqref="E18"/>
    </sheetView>
  </sheetViews>
  <sheetFormatPr defaultRowHeight="14.4" x14ac:dyDescent="0.3"/>
  <cols>
    <col min="2" max="2" width="15.44140625" customWidth="1"/>
    <col min="3" max="3" width="46.77734375" bestFit="1" customWidth="1"/>
    <col min="4" max="4" width="20.6640625" customWidth="1"/>
    <col min="5" max="5" width="20" customWidth="1"/>
  </cols>
  <sheetData>
    <row r="1" spans="1:5" ht="31.2" customHeight="1" thickBot="1" x14ac:dyDescent="0.35">
      <c r="A1" s="15" t="s">
        <v>0</v>
      </c>
      <c r="B1" s="15"/>
      <c r="C1" s="15"/>
      <c r="D1" s="15"/>
      <c r="E1" s="15"/>
    </row>
    <row r="2" spans="1:5" ht="24.6" customHeight="1" thickTop="1" thickBot="1" x14ac:dyDescent="0.35">
      <c r="A2" s="14"/>
      <c r="B2" s="13" t="s">
        <v>1</v>
      </c>
      <c r="C2" s="13" t="s">
        <v>2</v>
      </c>
      <c r="D2" s="1" t="s">
        <v>3</v>
      </c>
      <c r="E2" s="1"/>
    </row>
    <row r="3" spans="1:5" ht="15.6" thickTop="1" thickBot="1" x14ac:dyDescent="0.35">
      <c r="A3" s="14"/>
      <c r="B3" s="13"/>
      <c r="C3" s="13"/>
      <c r="D3" s="2" t="s">
        <v>4</v>
      </c>
      <c r="E3" s="2" t="s">
        <v>5</v>
      </c>
    </row>
    <row r="4" spans="1:5" ht="15.6" thickTop="1" thickBot="1" x14ac:dyDescent="0.35">
      <c r="A4" s="16" t="s">
        <v>6</v>
      </c>
      <c r="B4" s="21">
        <v>0.28000000000000003</v>
      </c>
      <c r="C4" s="3" t="s">
        <v>7</v>
      </c>
      <c r="D4" s="23">
        <v>4</v>
      </c>
      <c r="E4" s="23">
        <v>11</v>
      </c>
    </row>
    <row r="5" spans="1:5" ht="15.6" thickTop="1" thickBot="1" x14ac:dyDescent="0.35">
      <c r="A5" s="16"/>
      <c r="B5" s="22"/>
      <c r="C5" s="3" t="s">
        <v>8</v>
      </c>
      <c r="D5" s="23"/>
      <c r="E5" s="23"/>
    </row>
    <row r="6" spans="1:5" ht="15.6" thickTop="1" thickBot="1" x14ac:dyDescent="0.35">
      <c r="A6" s="16"/>
      <c r="B6" s="22"/>
      <c r="C6" s="3" t="s">
        <v>9</v>
      </c>
      <c r="D6" s="23"/>
      <c r="E6" s="23"/>
    </row>
    <row r="7" spans="1:5" ht="15.6" thickTop="1" thickBot="1" x14ac:dyDescent="0.35">
      <c r="A7" s="16"/>
      <c r="B7" s="22"/>
      <c r="C7" s="3" t="s">
        <v>10</v>
      </c>
      <c r="D7" s="23"/>
      <c r="E7" s="23"/>
    </row>
    <row r="8" spans="1:5" ht="15.6" thickTop="1" thickBot="1" x14ac:dyDescent="0.35">
      <c r="A8" s="16"/>
      <c r="B8" s="22"/>
      <c r="C8" s="3" t="s">
        <v>11</v>
      </c>
      <c r="D8" s="23"/>
      <c r="E8" s="23"/>
    </row>
    <row r="9" spans="1:5" ht="15.6" thickTop="1" thickBot="1" x14ac:dyDescent="0.35">
      <c r="A9" s="16"/>
      <c r="B9" s="22"/>
      <c r="C9" s="3" t="s">
        <v>12</v>
      </c>
      <c r="D9" s="23"/>
      <c r="E9" s="23"/>
    </row>
    <row r="10" spans="1:5" ht="15.6" thickTop="1" thickBot="1" x14ac:dyDescent="0.35">
      <c r="A10" s="16"/>
      <c r="B10" s="22"/>
      <c r="C10" s="3" t="s">
        <v>13</v>
      </c>
      <c r="D10" s="23"/>
      <c r="E10" s="23"/>
    </row>
    <row r="11" spans="1:5" ht="28.8" customHeight="1" thickTop="1" thickBot="1" x14ac:dyDescent="0.35">
      <c r="A11" s="16" t="s">
        <v>14</v>
      </c>
      <c r="B11" s="17">
        <v>0.23</v>
      </c>
      <c r="C11" s="4" t="s">
        <v>15</v>
      </c>
      <c r="D11" s="19">
        <v>3</v>
      </c>
      <c r="E11" s="19">
        <v>5</v>
      </c>
    </row>
    <row r="12" spans="1:5" ht="30.6" customHeight="1" thickTop="1" thickBot="1" x14ac:dyDescent="0.35">
      <c r="A12" s="16"/>
      <c r="B12" s="18"/>
      <c r="C12" s="4" t="s">
        <v>16</v>
      </c>
      <c r="D12" s="20"/>
      <c r="E12" s="20"/>
    </row>
    <row r="13" spans="1:5" ht="38.4" customHeight="1" thickTop="1" thickBot="1" x14ac:dyDescent="0.95">
      <c r="A13" s="5" t="s">
        <v>17</v>
      </c>
      <c r="B13" s="8">
        <v>0.2</v>
      </c>
      <c r="C13" s="9" t="s">
        <v>18</v>
      </c>
      <c r="D13" s="7">
        <v>3</v>
      </c>
      <c r="E13" s="7">
        <v>5</v>
      </c>
    </row>
    <row r="14" spans="1:5" ht="15" thickTop="1" x14ac:dyDescent="0.3">
      <c r="A14" s="10" t="s">
        <v>19</v>
      </c>
      <c r="B14" s="11">
        <v>0.18</v>
      </c>
      <c r="C14" s="6" t="s">
        <v>20</v>
      </c>
    </row>
    <row r="15" spans="1:5" x14ac:dyDescent="0.3">
      <c r="A15" s="10"/>
      <c r="B15" s="12"/>
      <c r="C15" s="6" t="s">
        <v>21</v>
      </c>
    </row>
    <row r="16" spans="1:5" x14ac:dyDescent="0.3">
      <c r="A16" s="10"/>
      <c r="B16" s="12"/>
    </row>
    <row r="17" spans="1:2" x14ac:dyDescent="0.3">
      <c r="A17" s="10"/>
      <c r="B17" s="12"/>
    </row>
    <row r="18" spans="1:2" x14ac:dyDescent="0.3">
      <c r="A18" s="10"/>
      <c r="B18" s="12"/>
    </row>
  </sheetData>
  <mergeCells count="14">
    <mergeCell ref="A1:E1"/>
    <mergeCell ref="A11:A12"/>
    <mergeCell ref="B11:B12"/>
    <mergeCell ref="D11:D12"/>
    <mergeCell ref="E11:E12"/>
    <mergeCell ref="A4:A10"/>
    <mergeCell ref="B4:B10"/>
    <mergeCell ref="D4:D10"/>
    <mergeCell ref="E4:E10"/>
    <mergeCell ref="A14:A18"/>
    <mergeCell ref="B14:B18"/>
    <mergeCell ref="C2:C3"/>
    <mergeCell ref="B2:B3"/>
    <mergeCell ref="A2:A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26FA-588A-426F-A916-0B3D7A3A2461}">
  <dimension ref="A4:E12"/>
  <sheetViews>
    <sheetView tabSelected="1" workbookViewId="0">
      <selection activeCell="E4" sqref="E4"/>
    </sheetView>
  </sheetViews>
  <sheetFormatPr defaultRowHeight="14.4" x14ac:dyDescent="0.3"/>
  <sheetData>
    <row r="4" spans="1:5" x14ac:dyDescent="0.3">
      <c r="B4">
        <v>2</v>
      </c>
      <c r="C4">
        <v>5</v>
      </c>
      <c r="D4">
        <v>3</v>
      </c>
      <c r="E4">
        <f>(B4+C4-D4)</f>
        <v>4</v>
      </c>
    </row>
    <row r="5" spans="1:5" x14ac:dyDescent="0.3">
      <c r="B5">
        <v>2</v>
      </c>
      <c r="C5">
        <v>5</v>
      </c>
      <c r="D5">
        <v>1</v>
      </c>
      <c r="E5">
        <f>(B4-C5+D5)</f>
        <v>-2</v>
      </c>
    </row>
    <row r="6" spans="1:5" x14ac:dyDescent="0.3">
      <c r="B6">
        <v>2</v>
      </c>
      <c r="C6">
        <v>5</v>
      </c>
      <c r="D6">
        <v>3</v>
      </c>
      <c r="E6">
        <f>(B6+C6*D6)</f>
        <v>17</v>
      </c>
    </row>
    <row r="7" spans="1:5" x14ac:dyDescent="0.3">
      <c r="B7">
        <v>2</v>
      </c>
      <c r="C7">
        <v>5</v>
      </c>
      <c r="D7">
        <v>3</v>
      </c>
      <c r="E7">
        <f>(B7*(C7-D7))</f>
        <v>4</v>
      </c>
    </row>
    <row r="8" spans="1:5" x14ac:dyDescent="0.3">
      <c r="A8">
        <v>2</v>
      </c>
      <c r="B8">
        <v>3</v>
      </c>
      <c r="C8">
        <v>8</v>
      </c>
      <c r="D8">
        <v>2</v>
      </c>
      <c r="E8">
        <f>(A8*B8+C8/D8)</f>
        <v>10</v>
      </c>
    </row>
    <row r="9" spans="1:5" x14ac:dyDescent="0.3">
      <c r="A9">
        <v>4</v>
      </c>
      <c r="B9">
        <v>3</v>
      </c>
      <c r="C9">
        <v>1</v>
      </c>
      <c r="D9">
        <v>2</v>
      </c>
      <c r="E9">
        <f>(A9*(B9-C9)/D9)</f>
        <v>4</v>
      </c>
    </row>
    <row r="10" spans="1:5" x14ac:dyDescent="0.3">
      <c r="B10">
        <v>2</v>
      </c>
      <c r="C10">
        <v>2</v>
      </c>
      <c r="D10">
        <v>2</v>
      </c>
      <c r="E10">
        <f>((B10*C10)^D10)</f>
        <v>16</v>
      </c>
    </row>
    <row r="11" spans="1:5" x14ac:dyDescent="0.3">
      <c r="A11">
        <v>5</v>
      </c>
      <c r="B11">
        <v>2</v>
      </c>
      <c r="C11">
        <v>3</v>
      </c>
      <c r="D11">
        <v>2</v>
      </c>
      <c r="E11">
        <f>(A11*(B11*(C11-D11)))</f>
        <v>10</v>
      </c>
    </row>
    <row r="12" spans="1:5" x14ac:dyDescent="0.3">
      <c r="A12">
        <v>20</v>
      </c>
      <c r="B12">
        <v>2</v>
      </c>
      <c r="C12">
        <v>2</v>
      </c>
      <c r="D12">
        <v>3</v>
      </c>
      <c r="E12">
        <f>(A12-B12*C12^D12)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nvsf</dc:creator>
  <cp:lastModifiedBy>kennedy nvsf</cp:lastModifiedBy>
  <dcterms:created xsi:type="dcterms:W3CDTF">2024-12-02T09:21:59Z</dcterms:created>
  <dcterms:modified xsi:type="dcterms:W3CDTF">2024-12-13T09:36:04Z</dcterms:modified>
</cp:coreProperties>
</file>