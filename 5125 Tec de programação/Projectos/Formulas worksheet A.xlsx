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OneDrive\Ambiente de Trabalho\"/>
    </mc:Choice>
  </mc:AlternateContent>
  <xr:revisionPtr revIDLastSave="0" documentId="8_{037475A4-03A0-4AD1-B916-59EC13083220}" xr6:coauthVersionLast="47" xr6:coauthVersionMax="47" xr10:uidLastSave="{00000000-0000-0000-0000-000000000000}"/>
  <bookViews>
    <workbookView xWindow="-108" yWindow="-108" windowWidth="23256" windowHeight="12456" xr2:uid="{3CFB7A7E-64F8-4449-9332-6CA6FEE61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8" i="1"/>
  <c r="B33" i="1"/>
  <c r="B32" i="1"/>
  <c r="B28" i="1"/>
  <c r="B27" i="1"/>
  <c r="B15" i="1"/>
  <c r="B14" i="1"/>
  <c r="B10" i="1"/>
  <c r="B3" i="1"/>
  <c r="B46" i="1"/>
  <c r="B45" i="1"/>
  <c r="B56" i="1"/>
  <c r="B52" i="1"/>
  <c r="B51" i="1"/>
  <c r="B39" i="1"/>
  <c r="B23" i="1"/>
  <c r="B19" i="1"/>
  <c r="B18" i="1"/>
  <c r="B6" i="1"/>
</calcChain>
</file>

<file path=xl/sharedStrings.xml><?xml version="1.0" encoding="utf-8"?>
<sst xmlns="http://schemas.openxmlformats.org/spreadsheetml/2006/main" count="44" uniqueCount="43">
  <si>
    <t>Metros</t>
  </si>
  <si>
    <t>Centimetros</t>
  </si>
  <si>
    <t>Polegadas</t>
  </si>
  <si>
    <t>Preço bilhete de cinema</t>
  </si>
  <si>
    <t xml:space="preserve">Número de bilhetes comprados </t>
  </si>
  <si>
    <t>Valot total a pagar</t>
  </si>
  <si>
    <t>comprimento do rectangulo</t>
  </si>
  <si>
    <t>largura do rectangulo</t>
  </si>
  <si>
    <t>perimetro do rectangulo</t>
  </si>
  <si>
    <t>Area do rectangulo</t>
  </si>
  <si>
    <t>Lado do quadrado</t>
  </si>
  <si>
    <t>perimetro do quadrado</t>
  </si>
  <si>
    <t>area do quadrado</t>
  </si>
  <si>
    <t>Data carnaval</t>
  </si>
  <si>
    <t>Data Pascoa</t>
  </si>
  <si>
    <t>dias entre as datas</t>
  </si>
  <si>
    <t>Custo sem IVA</t>
  </si>
  <si>
    <t>Taxa de IVA</t>
  </si>
  <si>
    <t>Valor do IVA</t>
  </si>
  <si>
    <t>Custo Final</t>
  </si>
  <si>
    <t>Deposito em 1/1/2017</t>
  </si>
  <si>
    <t>Taxa de Juro</t>
  </si>
  <si>
    <t>Valor de Juro</t>
  </si>
  <si>
    <t>Valor no Banco em 1/1/2018</t>
  </si>
  <si>
    <t>Salario Bruto</t>
  </si>
  <si>
    <t>Taxa Desconto Social</t>
  </si>
  <si>
    <t>Taxa Desconto IRS</t>
  </si>
  <si>
    <t>Valor Desconto Social</t>
  </si>
  <si>
    <t>Valor Desconto IRS</t>
  </si>
  <si>
    <t>Salario Liquido</t>
  </si>
  <si>
    <t>Consumo por 100Km(em litros)</t>
  </si>
  <si>
    <t>Número de Kilometros Feitos</t>
  </si>
  <si>
    <t>Custo por litro</t>
  </si>
  <si>
    <t>Consumo em litros</t>
  </si>
  <si>
    <t>Valor total gastos</t>
  </si>
  <si>
    <t>potencia do aparelho (w)</t>
  </si>
  <si>
    <t>horas de trabalho</t>
  </si>
  <si>
    <t>custo kwh</t>
  </si>
  <si>
    <t>potencia consumida</t>
  </si>
  <si>
    <t>Custo total</t>
  </si>
  <si>
    <t>IMC</t>
  </si>
  <si>
    <t>Peso (kg)</t>
  </si>
  <si>
    <t>Altura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</si>
</sst>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medium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medium">
        <color theme="1"/>
      </right>
      <top style="thick">
        <color theme="1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0" fontId="0" fillId="0" borderId="9" xfId="0" applyBorder="1"/>
    <xf numFmtId="0" fontId="0" fillId="0" borderId="4" xfId="0" applyBorder="1"/>
    <xf numFmtId="0" fontId="0" fillId="2" borderId="10" xfId="0" applyFill="1" applyBorder="1"/>
    <xf numFmtId="0" fontId="0" fillId="0" borderId="10" xfId="0" applyBorder="1"/>
    <xf numFmtId="164" fontId="0" fillId="0" borderId="10" xfId="0" applyNumberFormat="1" applyBorder="1"/>
    <xf numFmtId="164" fontId="0" fillId="2" borderId="10" xfId="0" applyNumberFormat="1" applyFill="1" applyBorder="1"/>
    <xf numFmtId="0" fontId="0" fillId="2" borderId="11" xfId="0" applyFill="1" applyBorder="1"/>
    <xf numFmtId="14" fontId="0" fillId="0" borderId="10" xfId="0" applyNumberFormat="1" applyBorder="1"/>
    <xf numFmtId="9" fontId="0" fillId="0" borderId="10" xfId="1" applyFont="1" applyBorder="1"/>
    <xf numFmtId="164" fontId="0" fillId="2" borderId="10" xfId="1" applyNumberFormat="1" applyFont="1" applyFill="1" applyBorder="1"/>
    <xf numFmtId="2" fontId="0" fillId="2" borderId="10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4AFD-5F2B-4843-92EA-7EF723A4DC14}">
  <dimension ref="A1:D57"/>
  <sheetViews>
    <sheetView tabSelected="1" topLeftCell="A36" zoomScale="88" zoomScaleNormal="110" workbookViewId="0">
      <selection activeCell="B52" sqref="B52"/>
    </sheetView>
  </sheetViews>
  <sheetFormatPr defaultRowHeight="14.4" x14ac:dyDescent="0.3"/>
  <cols>
    <col min="1" max="1" width="26.5546875" customWidth="1"/>
    <col min="2" max="2" width="18.109375" customWidth="1"/>
  </cols>
  <sheetData>
    <row r="1" spans="1:4" ht="15" thickBot="1" x14ac:dyDescent="0.35">
      <c r="A1" s="7"/>
      <c r="B1" s="7"/>
    </row>
    <row r="2" spans="1:4" ht="15.6" thickTop="1" thickBot="1" x14ac:dyDescent="0.35">
      <c r="A2" s="2" t="s">
        <v>0</v>
      </c>
      <c r="B2" s="14">
        <v>1.65</v>
      </c>
    </row>
    <row r="3" spans="1:4" ht="15.6" thickTop="1" thickBot="1" x14ac:dyDescent="0.35">
      <c r="A3" s="4" t="s">
        <v>1</v>
      </c>
      <c r="B3" s="13">
        <f>B2 * 100</f>
        <v>165</v>
      </c>
    </row>
    <row r="4" spans="1:4" ht="15.6" thickTop="1" thickBot="1" x14ac:dyDescent="0.35">
      <c r="A4" s="8"/>
      <c r="B4" s="9"/>
    </row>
    <row r="5" spans="1:4" ht="15.6" thickTop="1" thickBot="1" x14ac:dyDescent="0.35">
      <c r="A5" s="2" t="s">
        <v>2</v>
      </c>
      <c r="B5" s="12">
        <v>40</v>
      </c>
    </row>
    <row r="6" spans="1:4" ht="15.6" thickTop="1" thickBot="1" x14ac:dyDescent="0.35">
      <c r="A6" s="4" t="s">
        <v>1</v>
      </c>
      <c r="B6" s="13">
        <f>B5 * 2.54</f>
        <v>101.6</v>
      </c>
      <c r="C6" s="1"/>
    </row>
    <row r="7" spans="1:4" ht="15.6" thickTop="1" thickBot="1" x14ac:dyDescent="0.35">
      <c r="B7" s="10"/>
    </row>
    <row r="8" spans="1:4" ht="15.6" thickTop="1" thickBot="1" x14ac:dyDescent="0.35">
      <c r="A8" s="3" t="s">
        <v>3</v>
      </c>
      <c r="B8" s="15">
        <v>12</v>
      </c>
    </row>
    <row r="9" spans="1:4" ht="15.6" thickTop="1" thickBot="1" x14ac:dyDescent="0.35">
      <c r="A9" s="4" t="s">
        <v>4</v>
      </c>
      <c r="B9" s="14">
        <v>5</v>
      </c>
    </row>
    <row r="10" spans="1:4" ht="15.6" thickTop="1" thickBot="1" x14ac:dyDescent="0.35">
      <c r="A10" s="4" t="s">
        <v>5</v>
      </c>
      <c r="B10" s="16">
        <f>B9 * B8</f>
        <v>60</v>
      </c>
    </row>
    <row r="11" spans="1:4" ht="15.6" thickTop="1" thickBot="1" x14ac:dyDescent="0.35">
      <c r="A11" s="11"/>
      <c r="B11" s="11"/>
      <c r="D11" s="1"/>
    </row>
    <row r="12" spans="1:4" ht="15.6" thickTop="1" thickBot="1" x14ac:dyDescent="0.35">
      <c r="A12" s="2" t="s">
        <v>6</v>
      </c>
      <c r="B12" s="14">
        <v>10</v>
      </c>
      <c r="D12" s="1"/>
    </row>
    <row r="13" spans="1:4" ht="15.6" thickTop="1" thickBot="1" x14ac:dyDescent="0.35">
      <c r="A13" s="4" t="s">
        <v>7</v>
      </c>
      <c r="B13" s="14">
        <v>20</v>
      </c>
    </row>
    <row r="14" spans="1:4" ht="15.6" thickTop="1" thickBot="1" x14ac:dyDescent="0.35">
      <c r="A14" s="4" t="s">
        <v>8</v>
      </c>
      <c r="B14" s="13">
        <f>2 * (B13 + B12)</f>
        <v>60</v>
      </c>
    </row>
    <row r="15" spans="1:4" ht="15.6" thickTop="1" thickBot="1" x14ac:dyDescent="0.35">
      <c r="A15" s="4" t="s">
        <v>9</v>
      </c>
      <c r="B15" s="13">
        <f>B13 * B12</f>
        <v>200</v>
      </c>
    </row>
    <row r="16" spans="1:4" ht="15.6" thickTop="1" thickBot="1" x14ac:dyDescent="0.35">
      <c r="A16" s="11"/>
      <c r="B16" s="11"/>
    </row>
    <row r="17" spans="1:2" ht="15.6" thickTop="1" thickBot="1" x14ac:dyDescent="0.35">
      <c r="A17" s="2" t="s">
        <v>10</v>
      </c>
      <c r="B17" s="6">
        <v>20</v>
      </c>
    </row>
    <row r="18" spans="1:2" ht="15.6" thickTop="1" thickBot="1" x14ac:dyDescent="0.35">
      <c r="A18" s="4" t="s">
        <v>11</v>
      </c>
      <c r="B18" s="5">
        <f>4 * B17</f>
        <v>80</v>
      </c>
    </row>
    <row r="19" spans="1:2" ht="15.6" thickTop="1" thickBot="1" x14ac:dyDescent="0.35">
      <c r="A19" s="4" t="s">
        <v>12</v>
      </c>
      <c r="B19" s="17">
        <f>B17^2</f>
        <v>400</v>
      </c>
    </row>
    <row r="20" spans="1:2" ht="15.6" thickTop="1" thickBot="1" x14ac:dyDescent="0.35"/>
    <row r="21" spans="1:2" ht="15.6" thickTop="1" thickBot="1" x14ac:dyDescent="0.35">
      <c r="A21" s="14" t="s">
        <v>13</v>
      </c>
      <c r="B21" s="18">
        <v>45335</v>
      </c>
    </row>
    <row r="22" spans="1:2" ht="15.6" thickTop="1" thickBot="1" x14ac:dyDescent="0.35">
      <c r="A22" s="14" t="s">
        <v>14</v>
      </c>
      <c r="B22" s="18">
        <v>45382</v>
      </c>
    </row>
    <row r="23" spans="1:2" ht="15.6" thickTop="1" thickBot="1" x14ac:dyDescent="0.35">
      <c r="A23" s="14" t="s">
        <v>15</v>
      </c>
      <c r="B23" s="13">
        <f>(B22-B21)</f>
        <v>47</v>
      </c>
    </row>
    <row r="24" spans="1:2" ht="15.6" thickTop="1" thickBot="1" x14ac:dyDescent="0.35"/>
    <row r="25" spans="1:2" ht="15.6" thickTop="1" thickBot="1" x14ac:dyDescent="0.35">
      <c r="A25" s="14" t="s">
        <v>16</v>
      </c>
      <c r="B25" s="15">
        <v>200</v>
      </c>
    </row>
    <row r="26" spans="1:2" ht="15.6" thickTop="1" thickBot="1" x14ac:dyDescent="0.35">
      <c r="A26" s="14" t="s">
        <v>17</v>
      </c>
      <c r="B26" s="19">
        <v>0.23</v>
      </c>
    </row>
    <row r="27" spans="1:2" ht="15.6" thickTop="1" thickBot="1" x14ac:dyDescent="0.35">
      <c r="A27" s="14" t="s">
        <v>18</v>
      </c>
      <c r="B27" s="16">
        <f>B25 *B26</f>
        <v>46</v>
      </c>
    </row>
    <row r="28" spans="1:2" ht="15.6" thickTop="1" thickBot="1" x14ac:dyDescent="0.35">
      <c r="A28" s="14" t="s">
        <v>19</v>
      </c>
      <c r="B28" s="16">
        <f>+B25+B27</f>
        <v>246</v>
      </c>
    </row>
    <row r="29" spans="1:2" ht="15.6" thickTop="1" thickBot="1" x14ac:dyDescent="0.35"/>
    <row r="30" spans="1:2" ht="15.6" thickTop="1" thickBot="1" x14ac:dyDescent="0.35">
      <c r="A30" s="14" t="s">
        <v>20</v>
      </c>
      <c r="B30" s="15">
        <v>2000</v>
      </c>
    </row>
    <row r="31" spans="1:2" ht="15.6" thickTop="1" thickBot="1" x14ac:dyDescent="0.35">
      <c r="A31" s="14" t="s">
        <v>21</v>
      </c>
      <c r="B31" s="19">
        <v>0.05</v>
      </c>
    </row>
    <row r="32" spans="1:2" ht="15.6" thickTop="1" thickBot="1" x14ac:dyDescent="0.35">
      <c r="A32" s="14" t="s">
        <v>22</v>
      </c>
      <c r="B32" s="20">
        <f>+B30*B31</f>
        <v>100</v>
      </c>
    </row>
    <row r="33" spans="1:2" ht="15.6" thickTop="1" thickBot="1" x14ac:dyDescent="0.35">
      <c r="A33" s="14" t="s">
        <v>23</v>
      </c>
      <c r="B33" s="16">
        <f>+B30+B32</f>
        <v>2100</v>
      </c>
    </row>
    <row r="34" spans="1:2" ht="15.6" thickTop="1" thickBot="1" x14ac:dyDescent="0.35"/>
    <row r="35" spans="1:2" ht="15.6" thickTop="1" thickBot="1" x14ac:dyDescent="0.35">
      <c r="A35" s="14" t="s">
        <v>24</v>
      </c>
      <c r="B35" s="15">
        <v>1000</v>
      </c>
    </row>
    <row r="36" spans="1:2" ht="15.6" thickTop="1" thickBot="1" x14ac:dyDescent="0.35">
      <c r="A36" s="14" t="s">
        <v>25</v>
      </c>
      <c r="B36" s="19">
        <v>0.11</v>
      </c>
    </row>
    <row r="37" spans="1:2" ht="15.6" thickTop="1" thickBot="1" x14ac:dyDescent="0.35">
      <c r="A37" s="14" t="s">
        <v>26</v>
      </c>
      <c r="B37" s="19">
        <v>0.2</v>
      </c>
    </row>
    <row r="38" spans="1:2" ht="15.6" thickTop="1" thickBot="1" x14ac:dyDescent="0.35">
      <c r="A38" s="14" t="s">
        <v>27</v>
      </c>
      <c r="B38" s="16">
        <f>B35*B36</f>
        <v>110</v>
      </c>
    </row>
    <row r="39" spans="1:2" ht="15.6" thickTop="1" thickBot="1" x14ac:dyDescent="0.35">
      <c r="A39" s="14" t="s">
        <v>28</v>
      </c>
      <c r="B39" s="16">
        <f>+B35*B37</f>
        <v>200</v>
      </c>
    </row>
    <row r="40" spans="1:2" ht="15.6" thickTop="1" thickBot="1" x14ac:dyDescent="0.35">
      <c r="A40" s="14" t="s">
        <v>29</v>
      </c>
      <c r="B40" s="16">
        <f>+B35-B38-B39</f>
        <v>690</v>
      </c>
    </row>
    <row r="41" spans="1:2" ht="15.6" thickTop="1" thickBot="1" x14ac:dyDescent="0.35"/>
    <row r="42" spans="1:2" ht="15.6" thickTop="1" thickBot="1" x14ac:dyDescent="0.35">
      <c r="A42" s="14" t="s">
        <v>30</v>
      </c>
      <c r="B42" s="14">
        <v>4</v>
      </c>
    </row>
    <row r="43" spans="1:2" ht="15.6" thickTop="1" thickBot="1" x14ac:dyDescent="0.35">
      <c r="A43" s="14" t="s">
        <v>31</v>
      </c>
      <c r="B43" s="14">
        <v>200</v>
      </c>
    </row>
    <row r="44" spans="1:2" ht="15.6" thickTop="1" thickBot="1" x14ac:dyDescent="0.35">
      <c r="A44" s="14" t="s">
        <v>32</v>
      </c>
      <c r="B44" s="15">
        <v>5</v>
      </c>
    </row>
    <row r="45" spans="1:2" ht="15.6" thickTop="1" thickBot="1" x14ac:dyDescent="0.35">
      <c r="A45" s="14" t="s">
        <v>33</v>
      </c>
      <c r="B45" s="13">
        <f>B42*B43/100</f>
        <v>8</v>
      </c>
    </row>
    <row r="46" spans="1:2" ht="15.6" thickTop="1" thickBot="1" x14ac:dyDescent="0.35">
      <c r="A46" s="14" t="s">
        <v>34</v>
      </c>
      <c r="B46" s="16">
        <f>+B44*B45</f>
        <v>40</v>
      </c>
    </row>
    <row r="47" spans="1:2" ht="15.6" thickTop="1" thickBot="1" x14ac:dyDescent="0.35"/>
    <row r="48" spans="1:2" ht="15.6" thickTop="1" thickBot="1" x14ac:dyDescent="0.35">
      <c r="A48" s="14" t="s">
        <v>35</v>
      </c>
      <c r="B48" s="14">
        <v>100</v>
      </c>
    </row>
    <row r="49" spans="1:2" ht="15.6" thickTop="1" thickBot="1" x14ac:dyDescent="0.35">
      <c r="A49" s="14" t="s">
        <v>36</v>
      </c>
      <c r="B49" s="14">
        <v>10</v>
      </c>
    </row>
    <row r="50" spans="1:2" ht="15.6" thickTop="1" thickBot="1" x14ac:dyDescent="0.35">
      <c r="A50" s="14" t="s">
        <v>37</v>
      </c>
      <c r="B50" s="15">
        <v>5</v>
      </c>
    </row>
    <row r="51" spans="1:2" ht="15.6" thickTop="1" thickBot="1" x14ac:dyDescent="0.35">
      <c r="A51" s="14" t="s">
        <v>38</v>
      </c>
      <c r="B51" s="13">
        <f>(B48/100)*B49</f>
        <v>10</v>
      </c>
    </row>
    <row r="52" spans="1:2" ht="15.6" thickTop="1" thickBot="1" x14ac:dyDescent="0.35">
      <c r="A52" s="14" t="s">
        <v>39</v>
      </c>
      <c r="B52" s="16">
        <f>(B48/1000) * B49 * B50</f>
        <v>5</v>
      </c>
    </row>
    <row r="53" spans="1:2" ht="15.6" thickTop="1" thickBot="1" x14ac:dyDescent="0.35"/>
    <row r="54" spans="1:2" ht="15.6" thickTop="1" thickBot="1" x14ac:dyDescent="0.35">
      <c r="A54" s="14" t="s">
        <v>41</v>
      </c>
      <c r="B54" s="14">
        <v>90</v>
      </c>
    </row>
    <row r="55" spans="1:2" ht="15.6" thickTop="1" thickBot="1" x14ac:dyDescent="0.35">
      <c r="A55" s="14" t="s">
        <v>42</v>
      </c>
      <c r="B55" s="14">
        <v>1.83</v>
      </c>
    </row>
    <row r="56" spans="1:2" ht="15.6" thickTop="1" thickBot="1" x14ac:dyDescent="0.35">
      <c r="A56" s="14" t="s">
        <v>40</v>
      </c>
      <c r="B56" s="21">
        <f>B54/(B55 * B55)</f>
        <v>26.874496103198062</v>
      </c>
    </row>
    <row r="57" spans="1:2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nvsf</dc:creator>
  <cp:lastModifiedBy>kennedy nvsf</cp:lastModifiedBy>
  <dcterms:created xsi:type="dcterms:W3CDTF">2024-12-13T09:34:48Z</dcterms:created>
  <dcterms:modified xsi:type="dcterms:W3CDTF">2024-12-13T12:11:12Z</dcterms:modified>
</cp:coreProperties>
</file>