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ne\OneDrive\Ambiente de Trabalho\"/>
    </mc:Choice>
  </mc:AlternateContent>
  <xr:revisionPtr revIDLastSave="0" documentId="13_ncr:1_{4D8EED31-0819-42E6-AA8C-D11CE3BF7F4F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funções_base" sheetId="1" r:id="rId1"/>
    <sheet name="Folha1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9" i="1" l="1"/>
  <c r="F49" i="1"/>
  <c r="I2" i="2"/>
  <c r="G50" i="1"/>
  <c r="G51" i="1"/>
  <c r="G52" i="1"/>
  <c r="G53" i="1"/>
  <c r="G54" i="1"/>
  <c r="F50" i="1"/>
  <c r="F51" i="1"/>
  <c r="F52" i="1"/>
  <c r="F53" i="1"/>
  <c r="F54" i="1"/>
  <c r="C50" i="1"/>
  <c r="C51" i="1"/>
  <c r="C52" i="1"/>
  <c r="C53" i="1"/>
  <c r="C54" i="1"/>
  <c r="C49" i="1"/>
  <c r="E43" i="1"/>
  <c r="D40" i="1"/>
  <c r="D41" i="1"/>
  <c r="D39" i="1"/>
  <c r="C40" i="1"/>
  <c r="C41" i="1"/>
  <c r="C39" i="1"/>
  <c r="G27" i="1"/>
  <c r="C30" i="1"/>
  <c r="B32" i="1"/>
  <c r="E18" i="1"/>
  <c r="F26" i="1"/>
  <c r="G26" i="1" s="1"/>
  <c r="F27" i="1"/>
  <c r="F28" i="1"/>
  <c r="G28" i="1" s="1"/>
  <c r="F29" i="1"/>
  <c r="G29" i="1" s="1"/>
  <c r="F30" i="1"/>
  <c r="G30" i="1" s="1"/>
  <c r="F25" i="1"/>
  <c r="G25" i="1" s="1"/>
  <c r="C26" i="1"/>
  <c r="C27" i="1"/>
  <c r="C28" i="1"/>
  <c r="C29" i="1"/>
  <c r="C25" i="1"/>
  <c r="D19" i="1"/>
  <c r="D20" i="1"/>
  <c r="D21" i="1"/>
  <c r="C19" i="1"/>
  <c r="C20" i="1"/>
  <c r="C21" i="1"/>
  <c r="E19" i="1"/>
  <c r="E20" i="1"/>
  <c r="E21" i="1"/>
  <c r="D18" i="1"/>
  <c r="C18" i="1"/>
  <c r="E12" i="1"/>
  <c r="E13" i="1"/>
  <c r="E14" i="1"/>
  <c r="E11" i="1"/>
  <c r="E15" i="1" s="1"/>
  <c r="D12" i="1"/>
  <c r="D13" i="1"/>
  <c r="D14" i="1"/>
  <c r="D11" i="1"/>
  <c r="C12" i="1"/>
  <c r="C13" i="1"/>
  <c r="C14" i="1"/>
  <c r="C11" i="1"/>
  <c r="B12" i="1"/>
  <c r="B13" i="1"/>
  <c r="B14" i="1"/>
  <c r="B11" i="1"/>
  <c r="F13" i="1" l="1"/>
  <c r="F11" i="1"/>
  <c r="F14" i="1"/>
  <c r="F12" i="1"/>
</calcChain>
</file>

<file path=xl/sharedStrings.xml><?xml version="1.0" encoding="utf-8"?>
<sst xmlns="http://schemas.openxmlformats.org/spreadsheetml/2006/main" count="82" uniqueCount="59">
  <si>
    <t>Acidentes Rodoviários</t>
  </si>
  <si>
    <t>Distrito</t>
  </si>
  <si>
    <t>1º trimestre</t>
  </si>
  <si>
    <t>2º trimestre</t>
  </si>
  <si>
    <t>3º trimestre</t>
  </si>
  <si>
    <t>4º trimestre</t>
  </si>
  <si>
    <t>Braga</t>
  </si>
  <si>
    <t>Porto</t>
  </si>
  <si>
    <t>Coimbra</t>
  </si>
  <si>
    <t>Lisboa</t>
  </si>
  <si>
    <t>Estatísticas</t>
  </si>
  <si>
    <t>Mínimo</t>
  </si>
  <si>
    <t>Máximo</t>
  </si>
  <si>
    <t>Média</t>
  </si>
  <si>
    <t>Total</t>
  </si>
  <si>
    <t>% Total</t>
  </si>
  <si>
    <t>Eventos marcantes</t>
  </si>
  <si>
    <t>Data</t>
  </si>
  <si>
    <t>Ano</t>
  </si>
  <si>
    <t>Dia da semana</t>
  </si>
  <si>
    <t>Quantos aniversários se comemoram este ano?</t>
  </si>
  <si>
    <t>Implantação da República PT</t>
  </si>
  <si>
    <t>25 de Abril</t>
  </si>
  <si>
    <t>11 de Setembro</t>
  </si>
  <si>
    <t>Turma Excel (aprovado se média dos testes não for inferior a 9,5)</t>
  </si>
  <si>
    <t>Primeiro nome</t>
  </si>
  <si>
    <t>Último nome</t>
  </si>
  <si>
    <t>Nome completo*</t>
  </si>
  <si>
    <t>Nota teste 1</t>
  </si>
  <si>
    <t>Nota teste2</t>
  </si>
  <si>
    <t>Resultado (aprov/rep)</t>
  </si>
  <si>
    <t>Augusto</t>
  </si>
  <si>
    <t>Oliveira</t>
  </si>
  <si>
    <t>Helena</t>
  </si>
  <si>
    <t>Cunha</t>
  </si>
  <si>
    <t>João Manuel</t>
  </si>
  <si>
    <t>Rosa</t>
  </si>
  <si>
    <t>Luis Manuel</t>
  </si>
  <si>
    <t>Leitão</t>
  </si>
  <si>
    <t>Maria Adelaide</t>
  </si>
  <si>
    <t>Abreu</t>
  </si>
  <si>
    <t>Rita</t>
  </si>
  <si>
    <t>Alves</t>
  </si>
  <si>
    <t>* utilizar o operador "&amp;"</t>
  </si>
  <si>
    <t>Nº de alunos:</t>
  </si>
  <si>
    <t>BragaPizza</t>
  </si>
  <si>
    <t>Tipos de Pizza</t>
  </si>
  <si>
    <t>Diâmetro</t>
  </si>
  <si>
    <t>Perímetro</t>
  </si>
  <si>
    <t>Área</t>
  </si>
  <si>
    <t>Pequena</t>
  </si>
  <si>
    <t>Grande</t>
  </si>
  <si>
    <t>Nota Mód 1 (40hrs)</t>
  </si>
  <si>
    <t>Nota Mód 2 (60 hrs)</t>
  </si>
  <si>
    <t>Média ponderada</t>
  </si>
  <si>
    <t>Pelo mesmo valor é preferível comprar duas médias ou uma grande?</t>
  </si>
  <si>
    <t>Uma data à escolha</t>
  </si>
  <si>
    <t>Turma Electrónica (aprovado se a nota não for inferior a 9,5 a qualquer dos módulos)</t>
  </si>
  <si>
    <t>* utilizar função "concat"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</si>
</sst>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auto="1"/>
      </right>
      <top/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0" borderId="2" xfId="0" applyFill="1" applyBorder="1"/>
    <xf numFmtId="0" fontId="0" fillId="2" borderId="1" xfId="0" applyFill="1" applyBorder="1"/>
    <xf numFmtId="9" fontId="0" fillId="2" borderId="1" xfId="1" applyFont="1" applyFill="1" applyBorder="1"/>
    <xf numFmtId="0" fontId="0" fillId="2" borderId="0" xfId="0" applyFill="1"/>
    <xf numFmtId="0" fontId="0" fillId="2" borderId="2" xfId="0" applyFill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4" xfId="0" applyFill="1" applyBorder="1"/>
    <xf numFmtId="0" fontId="0" fillId="2" borderId="9" xfId="0" applyFill="1" applyBorder="1"/>
    <xf numFmtId="14" fontId="0" fillId="2" borderId="10" xfId="0" applyNumberFormat="1" applyFill="1" applyBorder="1"/>
    <xf numFmtId="14" fontId="0" fillId="2" borderId="12" xfId="0" applyNumberFormat="1" applyFill="1" applyBorder="1"/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2" borderId="14" xfId="0" applyFill="1" applyBorder="1"/>
    <xf numFmtId="0" fontId="0" fillId="2" borderId="15" xfId="0" applyFill="1" applyBorder="1"/>
    <xf numFmtId="0" fontId="0" fillId="0" borderId="16" xfId="0" applyBorder="1" applyAlignment="1">
      <alignment horizontal="center" wrapText="1"/>
    </xf>
    <xf numFmtId="1" fontId="0" fillId="2" borderId="17" xfId="0" applyNumberFormat="1" applyFill="1" applyBorder="1"/>
    <xf numFmtId="1" fontId="0" fillId="2" borderId="11" xfId="0" applyNumberFormat="1" applyFill="1" applyBorder="1"/>
    <xf numFmtId="1" fontId="0" fillId="2" borderId="18" xfId="0" applyNumberFormat="1" applyFill="1" applyBorder="1"/>
    <xf numFmtId="0" fontId="0" fillId="0" borderId="19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2" borderId="1" xfId="0" applyNumberFormat="1" applyFill="1" applyBorder="1"/>
  </cellXfs>
  <cellStyles count="2">
    <cellStyle name="Normal" xfId="0" builtinId="0"/>
    <cellStyle name="Percent" xfId="1" builtinId="5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6"/>
  <sheetViews>
    <sheetView topLeftCell="A43" zoomScale="150" zoomScaleNormal="150" workbookViewId="0">
      <selection activeCell="G49" sqref="G49"/>
    </sheetView>
  </sheetViews>
  <sheetFormatPr defaultColWidth="8.6640625" defaultRowHeight="14.4" x14ac:dyDescent="0.3"/>
  <cols>
    <col min="1" max="1" width="31.88671875" customWidth="1"/>
    <col min="2" max="2" width="12.88671875" customWidth="1"/>
    <col min="3" max="3" width="15.6640625" customWidth="1"/>
    <col min="4" max="4" width="13.109375" customWidth="1"/>
    <col min="5" max="5" width="30" customWidth="1"/>
    <col min="6" max="6" width="14.44140625" customWidth="1"/>
    <col min="7" max="7" width="11.44140625" customWidth="1"/>
  </cols>
  <sheetData>
    <row r="2" spans="1:6" x14ac:dyDescent="0.3">
      <c r="A2" t="s">
        <v>0</v>
      </c>
    </row>
    <row r="3" spans="1:6" ht="26.8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6" ht="26.85" customHeight="1" x14ac:dyDescent="0.3">
      <c r="A4" s="1" t="s">
        <v>6</v>
      </c>
      <c r="B4" s="1">
        <v>500</v>
      </c>
      <c r="C4" s="1">
        <v>250</v>
      </c>
      <c r="D4" s="1">
        <v>320</v>
      </c>
      <c r="E4" s="1">
        <v>440</v>
      </c>
    </row>
    <row r="5" spans="1:6" ht="26.85" customHeight="1" x14ac:dyDescent="0.3">
      <c r="A5" s="1" t="s">
        <v>7</v>
      </c>
      <c r="B5" s="1">
        <v>450</v>
      </c>
      <c r="C5" s="1">
        <v>300</v>
      </c>
      <c r="D5" s="1">
        <v>270</v>
      </c>
      <c r="E5" s="1">
        <v>480</v>
      </c>
    </row>
    <row r="6" spans="1:6" ht="26.85" customHeight="1" x14ac:dyDescent="0.3">
      <c r="A6" s="1" t="s">
        <v>8</v>
      </c>
      <c r="B6" s="1">
        <v>300</v>
      </c>
      <c r="C6" s="1">
        <v>700</v>
      </c>
      <c r="D6" s="1">
        <v>400</v>
      </c>
      <c r="E6" s="1">
        <v>270</v>
      </c>
    </row>
    <row r="7" spans="1:6" ht="26.85" customHeight="1" x14ac:dyDescent="0.3">
      <c r="A7" s="1" t="s">
        <v>9</v>
      </c>
      <c r="B7" s="1">
        <v>700</v>
      </c>
      <c r="C7" s="1">
        <v>500</v>
      </c>
      <c r="D7" s="1">
        <v>450</v>
      </c>
      <c r="E7" s="1">
        <v>800</v>
      </c>
    </row>
    <row r="9" spans="1:6" x14ac:dyDescent="0.3">
      <c r="A9" t="s">
        <v>10</v>
      </c>
    </row>
    <row r="10" spans="1:6" x14ac:dyDescent="0.3">
      <c r="A10" s="1" t="s">
        <v>1</v>
      </c>
      <c r="B10" s="1" t="s">
        <v>11</v>
      </c>
      <c r="C10" s="1" t="s">
        <v>12</v>
      </c>
      <c r="D10" s="1" t="s">
        <v>13</v>
      </c>
      <c r="E10" s="1" t="s">
        <v>14</v>
      </c>
      <c r="F10" s="1" t="s">
        <v>15</v>
      </c>
    </row>
    <row r="11" spans="1:6" x14ac:dyDescent="0.3">
      <c r="A11" s="1" t="s">
        <v>6</v>
      </c>
      <c r="B11" s="7">
        <f>MIN(B4,C4,D4,E4)</f>
        <v>250</v>
      </c>
      <c r="C11" s="7">
        <f>MAX(B5,C5,D5,E5)</f>
        <v>480</v>
      </c>
      <c r="D11" s="7">
        <f>AVERAGE(B4,C4,D4,E4)</f>
        <v>377.5</v>
      </c>
      <c r="E11" s="7">
        <f>SUM(B4,C4,D4,E4)</f>
        <v>1510</v>
      </c>
      <c r="F11" s="8">
        <f>E11/$E$15</f>
        <v>0.21178120617110799</v>
      </c>
    </row>
    <row r="12" spans="1:6" x14ac:dyDescent="0.3">
      <c r="A12" s="1" t="s">
        <v>7</v>
      </c>
      <c r="B12" s="7">
        <f t="shared" ref="B12:B14" si="0">MIN(B5,C5,D5,E5)</f>
        <v>270</v>
      </c>
      <c r="C12" s="7">
        <f t="shared" ref="C12:C14" si="1">MAX(B6,C6,D6,E6)</f>
        <v>700</v>
      </c>
      <c r="D12" s="7">
        <f t="shared" ref="D12:D14" si="2">AVERAGE(B5,C5,D5,E5)</f>
        <v>375</v>
      </c>
      <c r="E12" s="7">
        <f t="shared" ref="E12:E14" si="3">SUM(B5,C5,D5,E5)</f>
        <v>1500</v>
      </c>
      <c r="F12" s="8">
        <f t="shared" ref="F12:F14" si="4">E12/$E$15</f>
        <v>0.21037868162692847</v>
      </c>
    </row>
    <row r="13" spans="1:6" x14ac:dyDescent="0.3">
      <c r="A13" s="1" t="s">
        <v>8</v>
      </c>
      <c r="B13" s="7">
        <f t="shared" si="0"/>
        <v>270</v>
      </c>
      <c r="C13" s="7">
        <f t="shared" si="1"/>
        <v>800</v>
      </c>
      <c r="D13" s="7">
        <f t="shared" si="2"/>
        <v>417.5</v>
      </c>
      <c r="E13" s="7">
        <f t="shared" si="3"/>
        <v>1670</v>
      </c>
      <c r="F13" s="8">
        <f t="shared" si="4"/>
        <v>0.23422159887798036</v>
      </c>
    </row>
    <row r="14" spans="1:6" x14ac:dyDescent="0.3">
      <c r="A14" s="1" t="s">
        <v>9</v>
      </c>
      <c r="B14" s="7">
        <f t="shared" si="0"/>
        <v>450</v>
      </c>
      <c r="C14" s="7">
        <f t="shared" si="1"/>
        <v>0</v>
      </c>
      <c r="D14" s="7">
        <f t="shared" si="2"/>
        <v>612.5</v>
      </c>
      <c r="E14" s="7">
        <f t="shared" si="3"/>
        <v>2450</v>
      </c>
      <c r="F14" s="8">
        <f t="shared" si="4"/>
        <v>0.34361851332398319</v>
      </c>
    </row>
    <row r="15" spans="1:6" x14ac:dyDescent="0.3">
      <c r="B15" s="9"/>
      <c r="C15" s="9"/>
      <c r="D15" s="9"/>
      <c r="E15" s="10">
        <f>SUM(E11,E12,E13,E14)</f>
        <v>7130</v>
      </c>
      <c r="F15" s="9"/>
    </row>
    <row r="16" spans="1:6" ht="15" thickBot="1" x14ac:dyDescent="0.35">
      <c r="A16" s="12" t="s">
        <v>16</v>
      </c>
      <c r="B16" s="12"/>
      <c r="C16" s="12"/>
      <c r="D16" s="12"/>
      <c r="E16" s="12"/>
    </row>
    <row r="17" spans="1:7" s="3" customFormat="1" ht="58.95" customHeight="1" thickTop="1" thickBot="1" x14ac:dyDescent="0.35">
      <c r="A17" s="14"/>
      <c r="B17" s="20" t="s">
        <v>17</v>
      </c>
      <c r="C17" s="15" t="s">
        <v>18</v>
      </c>
      <c r="D17" s="21" t="s">
        <v>19</v>
      </c>
      <c r="E17" s="24" t="s">
        <v>20</v>
      </c>
      <c r="F17" s="28"/>
      <c r="G17" s="29"/>
    </row>
    <row r="18" spans="1:7" ht="15.6" thickTop="1" thickBot="1" x14ac:dyDescent="0.35">
      <c r="A18" s="13" t="s">
        <v>21</v>
      </c>
      <c r="B18" s="19">
        <v>3783</v>
      </c>
      <c r="C18" s="16">
        <f>YEAR(B18)</f>
        <v>1910</v>
      </c>
      <c r="D18" s="22" t="str">
        <f>TEXT(B18, "dddd")</f>
        <v>Tuesday</v>
      </c>
      <c r="E18" s="25">
        <f ca="1">YEAR(TODAY())-YEAR(B18)</f>
        <v>115</v>
      </c>
    </row>
    <row r="19" spans="1:7" ht="15.6" thickTop="1" thickBot="1" x14ac:dyDescent="0.35">
      <c r="A19" s="11" t="s">
        <v>22</v>
      </c>
      <c r="B19" s="18">
        <v>27144</v>
      </c>
      <c r="C19" s="17">
        <f t="shared" ref="C19:C21" si="5">YEAR(B19)</f>
        <v>1974</v>
      </c>
      <c r="D19" s="23" t="str">
        <f t="shared" ref="D19:D21" si="6">TEXT(B19, "dddd")</f>
        <v>Thursday</v>
      </c>
      <c r="E19" s="26">
        <f t="shared" ref="E19:E21" ca="1" si="7">YEAR(TODAY())-YEAR(B19)</f>
        <v>51</v>
      </c>
    </row>
    <row r="20" spans="1:7" ht="15.6" thickTop="1" thickBot="1" x14ac:dyDescent="0.35">
      <c r="A20" s="11" t="s">
        <v>23</v>
      </c>
      <c r="B20" s="18">
        <v>37145</v>
      </c>
      <c r="C20" s="17">
        <f t="shared" si="5"/>
        <v>2001</v>
      </c>
      <c r="D20" s="23" t="str">
        <f t="shared" si="6"/>
        <v>Tuesday</v>
      </c>
      <c r="E20" s="26">
        <f t="shared" ca="1" si="7"/>
        <v>24</v>
      </c>
    </row>
    <row r="21" spans="1:7" ht="15.6" thickTop="1" thickBot="1" x14ac:dyDescent="0.35">
      <c r="A21" s="11" t="s">
        <v>56</v>
      </c>
      <c r="B21" s="18">
        <v>1</v>
      </c>
      <c r="C21" s="17">
        <f t="shared" si="5"/>
        <v>1900</v>
      </c>
      <c r="D21" s="23" t="str">
        <f t="shared" si="6"/>
        <v>Sunday</v>
      </c>
      <c r="E21" s="27">
        <f t="shared" ca="1" si="7"/>
        <v>125</v>
      </c>
    </row>
    <row r="22" spans="1:7" ht="15" thickTop="1" x14ac:dyDescent="0.3"/>
    <row r="23" spans="1:7" x14ac:dyDescent="0.3">
      <c r="A23" t="s">
        <v>24</v>
      </c>
    </row>
    <row r="24" spans="1:7" s="4" customFormat="1" ht="27.75" customHeight="1" x14ac:dyDescent="0.3">
      <c r="A24" s="2" t="s">
        <v>25</v>
      </c>
      <c r="B24" s="2" t="s">
        <v>26</v>
      </c>
      <c r="C24" s="2" t="s">
        <v>27</v>
      </c>
      <c r="D24" s="2" t="s">
        <v>28</v>
      </c>
      <c r="E24" s="2" t="s">
        <v>29</v>
      </c>
      <c r="F24" s="2" t="s">
        <v>13</v>
      </c>
      <c r="G24" s="2" t="s">
        <v>30</v>
      </c>
    </row>
    <row r="25" spans="1:7" x14ac:dyDescent="0.3">
      <c r="A25" s="1" t="s">
        <v>31</v>
      </c>
      <c r="B25" s="1" t="s">
        <v>32</v>
      </c>
      <c r="C25" s="7" t="str">
        <f>A25&amp;" "&amp;B25</f>
        <v>Augusto Oliveira</v>
      </c>
      <c r="D25" s="1">
        <v>12</v>
      </c>
      <c r="E25" s="1">
        <v>13.6</v>
      </c>
      <c r="F25" s="7">
        <f>AVERAGE(D25,E25)</f>
        <v>12.8</v>
      </c>
      <c r="G25" s="1" t="str">
        <f>IF(F25&gt;=9.5, "Aprovado", "Reprovado")</f>
        <v>Aprovado</v>
      </c>
    </row>
    <row r="26" spans="1:7" x14ac:dyDescent="0.3">
      <c r="A26" s="1" t="s">
        <v>33</v>
      </c>
      <c r="B26" s="1" t="s">
        <v>34</v>
      </c>
      <c r="C26" s="7" t="str">
        <f t="shared" ref="C26:C29" si="8">A26&amp;" "&amp;B26</f>
        <v>Helena Cunha</v>
      </c>
      <c r="D26" s="1">
        <v>14.1</v>
      </c>
      <c r="E26" s="1">
        <v>16</v>
      </c>
      <c r="F26" s="7">
        <f t="shared" ref="F26:F30" si="9">AVERAGE(D26,E26)</f>
        <v>15.05</v>
      </c>
      <c r="G26" s="1" t="str">
        <f t="shared" ref="G26:G30" si="10">IF(F26&gt;=9.5, "Aprovado", "Reprovado")</f>
        <v>Aprovado</v>
      </c>
    </row>
    <row r="27" spans="1:7" x14ac:dyDescent="0.3">
      <c r="A27" s="1" t="s">
        <v>35</v>
      </c>
      <c r="B27" s="1" t="s">
        <v>36</v>
      </c>
      <c r="C27" s="7" t="str">
        <f t="shared" si="8"/>
        <v>João Manuel Rosa</v>
      </c>
      <c r="D27" s="1">
        <v>8.6</v>
      </c>
      <c r="E27" s="1">
        <v>7.4</v>
      </c>
      <c r="F27" s="7">
        <f t="shared" si="9"/>
        <v>8</v>
      </c>
      <c r="G27" s="1" t="str">
        <f t="shared" si="10"/>
        <v>Reprovado</v>
      </c>
    </row>
    <row r="28" spans="1:7" x14ac:dyDescent="0.3">
      <c r="A28" s="1" t="s">
        <v>37</v>
      </c>
      <c r="B28" s="1" t="s">
        <v>38</v>
      </c>
      <c r="C28" s="7" t="str">
        <f t="shared" si="8"/>
        <v>Luis Manuel Leitão</v>
      </c>
      <c r="D28" s="1">
        <v>8.8000000000000007</v>
      </c>
      <c r="E28" s="1">
        <v>10.199999999999999</v>
      </c>
      <c r="F28" s="7">
        <f t="shared" si="9"/>
        <v>9.5</v>
      </c>
      <c r="G28" s="1" t="str">
        <f t="shared" si="10"/>
        <v>Aprovado</v>
      </c>
    </row>
    <row r="29" spans="1:7" x14ac:dyDescent="0.3">
      <c r="A29" s="1" t="s">
        <v>39</v>
      </c>
      <c r="B29" s="1" t="s">
        <v>40</v>
      </c>
      <c r="C29" s="7" t="str">
        <f t="shared" si="8"/>
        <v>Maria Adelaide Abreu</v>
      </c>
      <c r="D29" s="1">
        <v>7.9</v>
      </c>
      <c r="E29" s="1">
        <v>6.5</v>
      </c>
      <c r="F29" s="7">
        <f t="shared" si="9"/>
        <v>7.2</v>
      </c>
      <c r="G29" s="1" t="str">
        <f t="shared" si="10"/>
        <v>Reprovado</v>
      </c>
    </row>
    <row r="30" spans="1:7" x14ac:dyDescent="0.3">
      <c r="A30" s="1" t="s">
        <v>41</v>
      </c>
      <c r="B30" s="1" t="s">
        <v>42</v>
      </c>
      <c r="C30" s="7" t="str">
        <f>A30&amp;" "&amp;B30</f>
        <v>Rita Alves</v>
      </c>
      <c r="D30" s="1">
        <v>16</v>
      </c>
      <c r="E30" s="1">
        <v>14</v>
      </c>
      <c r="F30" s="7">
        <f t="shared" si="9"/>
        <v>15</v>
      </c>
      <c r="G30" s="1" t="str">
        <f t="shared" si="10"/>
        <v>Aprovado</v>
      </c>
    </row>
    <row r="31" spans="1:7" x14ac:dyDescent="0.3">
      <c r="A31" t="s">
        <v>43</v>
      </c>
    </row>
    <row r="32" spans="1:7" x14ac:dyDescent="0.3">
      <c r="A32" t="s">
        <v>44</v>
      </c>
      <c r="B32" s="7">
        <f>COUNT(D25:D30)</f>
        <v>6</v>
      </c>
    </row>
    <row r="37" spans="1:7" x14ac:dyDescent="0.3">
      <c r="A37" t="s">
        <v>45</v>
      </c>
    </row>
    <row r="38" spans="1:7" x14ac:dyDescent="0.3">
      <c r="A38" s="1" t="s">
        <v>46</v>
      </c>
      <c r="B38" s="1" t="s">
        <v>47</v>
      </c>
      <c r="C38" s="1" t="s">
        <v>48</v>
      </c>
      <c r="D38" s="1" t="s">
        <v>49</v>
      </c>
    </row>
    <row r="39" spans="1:7" x14ac:dyDescent="0.3">
      <c r="A39" s="1" t="s">
        <v>50</v>
      </c>
      <c r="B39" s="1">
        <v>20</v>
      </c>
      <c r="C39" s="30">
        <f>PI()*B39</f>
        <v>62.831853071795862</v>
      </c>
      <c r="D39" s="30">
        <f>PI()*(B39/2)^2</f>
        <v>314.15926535897933</v>
      </c>
    </row>
    <row r="40" spans="1:7" x14ac:dyDescent="0.3">
      <c r="A40" s="1" t="s">
        <v>13</v>
      </c>
      <c r="B40" s="1">
        <v>35</v>
      </c>
      <c r="C40" s="30">
        <f t="shared" ref="C40:C41" si="11">PI()*B40</f>
        <v>109.95574287564276</v>
      </c>
      <c r="D40" s="30">
        <f t="shared" ref="D40:D41" si="12">PI()*(B40/2)^2</f>
        <v>962.11275016187415</v>
      </c>
    </row>
    <row r="41" spans="1:7" x14ac:dyDescent="0.3">
      <c r="A41" s="1" t="s">
        <v>51</v>
      </c>
      <c r="B41" s="1">
        <v>50</v>
      </c>
      <c r="C41" s="30">
        <f t="shared" si="11"/>
        <v>157.07963267948966</v>
      </c>
      <c r="D41" s="30">
        <f t="shared" si="12"/>
        <v>1963.4954084936207</v>
      </c>
    </row>
    <row r="43" spans="1:7" x14ac:dyDescent="0.3">
      <c r="A43" t="s">
        <v>55</v>
      </c>
      <c r="E43" s="5" t="str">
        <f>IF(2*D40&gt;D41, "É preferivel comprar as duas medias", "É preferivel comprar uma grande")</f>
        <v>É preferivel comprar uma grande</v>
      </c>
    </row>
    <row r="47" spans="1:7" x14ac:dyDescent="0.3">
      <c r="A47" t="s">
        <v>57</v>
      </c>
    </row>
    <row r="48" spans="1:7" s="4" customFormat="1" ht="35.1" customHeight="1" x14ac:dyDescent="0.3">
      <c r="A48" s="2" t="s">
        <v>25</v>
      </c>
      <c r="B48" s="2" t="s">
        <v>26</v>
      </c>
      <c r="C48" s="2" t="s">
        <v>27</v>
      </c>
      <c r="D48" s="2" t="s">
        <v>52</v>
      </c>
      <c r="E48" s="2" t="s">
        <v>53</v>
      </c>
      <c r="F48" s="2" t="s">
        <v>54</v>
      </c>
      <c r="G48" s="2" t="s">
        <v>30</v>
      </c>
    </row>
    <row r="49" spans="1:7" x14ac:dyDescent="0.3">
      <c r="A49" s="1" t="s">
        <v>31</v>
      </c>
      <c r="B49" s="1" t="s">
        <v>32</v>
      </c>
      <c r="C49" s="7" t="str">
        <f>_xlfn.CONCAT(A49, " ",B49)</f>
        <v>Augusto Oliveira</v>
      </c>
      <c r="D49" s="1">
        <v>12</v>
      </c>
      <c r="E49" s="1">
        <v>13.6</v>
      </c>
      <c r="F49" s="1">
        <f>(D49*40+E49*60)/100</f>
        <v>12.96</v>
      </c>
      <c r="G49" s="1" t="str">
        <f>IF(AND(D49&gt;=9,5,E49&gt;=9,5), "Aprovado", "Reprovado")</f>
        <v>Aprovado</v>
      </c>
    </row>
    <row r="50" spans="1:7" x14ac:dyDescent="0.3">
      <c r="A50" s="1" t="s">
        <v>33</v>
      </c>
      <c r="B50" s="1" t="s">
        <v>34</v>
      </c>
      <c r="C50" s="7" t="str">
        <f t="shared" ref="C50:C54" si="13">_xlfn.CONCAT(A50, " ",B50)</f>
        <v>Helena Cunha</v>
      </c>
      <c r="D50" s="1">
        <v>14.1</v>
      </c>
      <c r="E50" s="1">
        <v>16</v>
      </c>
      <c r="F50" s="1">
        <f t="shared" ref="F50:F54" si="14">(D50*40+E50*60)/100</f>
        <v>15.24</v>
      </c>
      <c r="G50" s="1" t="str">
        <f>IF(AND(D50&gt;=9,5,E50&gt;=9,5), "Aprovado", "Reprovado")</f>
        <v>Aprovado</v>
      </c>
    </row>
    <row r="51" spans="1:7" x14ac:dyDescent="0.3">
      <c r="A51" s="1" t="s">
        <v>35</v>
      </c>
      <c r="B51" s="1" t="s">
        <v>36</v>
      </c>
      <c r="C51" s="7" t="str">
        <f t="shared" si="13"/>
        <v>João Manuel Rosa</v>
      </c>
      <c r="D51" s="1">
        <v>8.6</v>
      </c>
      <c r="E51" s="1">
        <v>7.4</v>
      </c>
      <c r="F51" s="1">
        <f t="shared" si="14"/>
        <v>7.88</v>
      </c>
      <c r="G51" s="1" t="str">
        <f t="shared" ref="G50:G54" si="15">IF(AND(D51&gt;=9,5,E51&gt;=9,5), "Aprovado", "Reprovado")</f>
        <v>Reprovado</v>
      </c>
    </row>
    <row r="52" spans="1:7" x14ac:dyDescent="0.3">
      <c r="A52" s="1" t="s">
        <v>37</v>
      </c>
      <c r="B52" s="1" t="s">
        <v>38</v>
      </c>
      <c r="C52" s="7" t="str">
        <f t="shared" si="13"/>
        <v>Luis Manuel Leitão</v>
      </c>
      <c r="D52" s="1">
        <v>8.8000000000000007</v>
      </c>
      <c r="E52" s="1">
        <v>10.199999999999999</v>
      </c>
      <c r="F52" s="1">
        <f t="shared" si="14"/>
        <v>9.64</v>
      </c>
      <c r="G52" s="1" t="str">
        <f t="shared" si="15"/>
        <v>Reprovado</v>
      </c>
    </row>
    <row r="53" spans="1:7" x14ac:dyDescent="0.3">
      <c r="A53" s="1" t="s">
        <v>39</v>
      </c>
      <c r="B53" s="1" t="s">
        <v>40</v>
      </c>
      <c r="C53" s="7" t="str">
        <f t="shared" si="13"/>
        <v>Maria Adelaide Abreu</v>
      </c>
      <c r="D53" s="1">
        <v>7.9</v>
      </c>
      <c r="E53" s="1">
        <v>6.5</v>
      </c>
      <c r="F53" s="1">
        <f t="shared" si="14"/>
        <v>7.06</v>
      </c>
      <c r="G53" s="1" t="str">
        <f t="shared" si="15"/>
        <v>Reprovado</v>
      </c>
    </row>
    <row r="54" spans="1:7" x14ac:dyDescent="0.3">
      <c r="A54" s="1" t="s">
        <v>41</v>
      </c>
      <c r="B54" s="1" t="s">
        <v>42</v>
      </c>
      <c r="C54" s="7" t="str">
        <f t="shared" si="13"/>
        <v>Rita Alves</v>
      </c>
      <c r="D54" s="1">
        <v>16</v>
      </c>
      <c r="E54" s="1">
        <v>14</v>
      </c>
      <c r="F54" s="1">
        <f t="shared" si="14"/>
        <v>14.8</v>
      </c>
      <c r="G54" s="1" t="str">
        <f t="shared" si="15"/>
        <v>Aprovado</v>
      </c>
    </row>
    <row r="55" spans="1:7" x14ac:dyDescent="0.3">
      <c r="A55" s="6" t="s">
        <v>58</v>
      </c>
    </row>
    <row r="56" spans="1:7" x14ac:dyDescent="0.3">
      <c r="B56" s="3"/>
      <c r="C56" s="3"/>
      <c r="D56" s="3"/>
      <c r="E56" s="3"/>
      <c r="F56" s="3"/>
    </row>
  </sheetData>
  <conditionalFormatting sqref="G25:G30">
    <cfRule type="containsText" dxfId="5" priority="3" operator="containsText" text="Reprovado">
      <formula>NOT(ISERROR(SEARCH("Reprovado",G25)))</formula>
    </cfRule>
    <cfRule type="containsText" dxfId="4" priority="6" operator="containsText" text="Aprovado">
      <formula>NOT(ISERROR(SEARCH("Aprovado",G25)))</formula>
    </cfRule>
  </conditionalFormatting>
  <conditionalFormatting sqref="G27:G30">
    <cfRule type="containsText" dxfId="3" priority="5" operator="containsText" text="Reprovado">
      <formula>NOT(ISERROR(SEARCH("Reprovado",G27)))</formula>
    </cfRule>
  </conditionalFormatting>
  <conditionalFormatting sqref="G25:G30">
    <cfRule type="containsText" dxfId="2" priority="4" operator="containsText" text="Aprovado">
      <formula>NOT(ISERROR(SEARCH("Aprovado",G25)))</formula>
    </cfRule>
  </conditionalFormatting>
  <conditionalFormatting sqref="G49:G54">
    <cfRule type="containsText" dxfId="1" priority="1" operator="containsText" text="Reprovado">
      <formula>NOT(ISERROR(SEARCH("Reprovado",G49)))</formula>
    </cfRule>
    <cfRule type="containsText" dxfId="0" priority="2" operator="containsText" text="Aprovado">
      <formula>NOT(ISERROR(SEARCH("Aprovado",G49)))</formula>
    </cfRule>
  </conditionalFormatting>
  <pageMargins left="0.7" right="1.03" top="0.47152777777777799" bottom="0.49236111111111103" header="0.511811023622047" footer="0.511811023622047"/>
  <pageSetup paperSize="9" scale="85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52A1-6C0F-4119-84D6-B9697B203A84}">
  <dimension ref="A2:I2"/>
  <sheetViews>
    <sheetView tabSelected="1" zoomScaleNormal="100" workbookViewId="0">
      <selection activeCell="D8" sqref="D8"/>
    </sheetView>
  </sheetViews>
  <sheetFormatPr defaultRowHeight="14.4" x14ac:dyDescent="0.3"/>
  <cols>
    <col min="1" max="1" width="8.5546875" customWidth="1"/>
    <col min="2" max="2" width="12.6640625" customWidth="1"/>
    <col min="3" max="3" width="13.44140625" customWidth="1"/>
  </cols>
  <sheetData>
    <row r="2" spans="1:9" x14ac:dyDescent="0.3">
      <c r="A2">
        <v>1</v>
      </c>
      <c r="B2">
        <v>0</v>
      </c>
      <c r="C2">
        <v>0</v>
      </c>
      <c r="D2">
        <v>1</v>
      </c>
      <c r="E2">
        <v>0</v>
      </c>
      <c r="F2">
        <v>1</v>
      </c>
      <c r="G2">
        <v>0</v>
      </c>
      <c r="H2">
        <v>0</v>
      </c>
      <c r="I2" s="9">
        <f>A2*POWER(2,7)+B2*POWER(2,6)+C2*POWER(2,5)+D2*POWER(2,4)+E2*POWER(2,3)+F2*POWER(2,2)+G2*POWER(2,1)+H2*POWER(2,0)</f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funções_base</vt:lpstr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Rui Carvalho</dc:creator>
  <dc:description/>
  <cp:lastModifiedBy>kennedy nvsf</cp:lastModifiedBy>
  <cp:revision>3</cp:revision>
  <cp:lastPrinted>2024-02-27T11:36:17Z</cp:lastPrinted>
  <dcterms:created xsi:type="dcterms:W3CDTF">2019-03-19T17:49:29Z</dcterms:created>
  <dcterms:modified xsi:type="dcterms:W3CDTF">2025-01-08T10:59:21Z</dcterms:modified>
  <dc:language>pt-PT</dc:language>
</cp:coreProperties>
</file>